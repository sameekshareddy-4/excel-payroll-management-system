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78e04df5c17cd3/Desktop/Internships/Extra Projects Mini/"/>
    </mc:Choice>
  </mc:AlternateContent>
  <xr:revisionPtr revIDLastSave="25" documentId="8_{6692BFA9-A38D-4C94-801F-A21F9443D70E}" xr6:coauthVersionLast="47" xr6:coauthVersionMax="47" xr10:uidLastSave="{0E0D8C38-BD3F-4C0A-9B36-B77B6522D203}"/>
  <bookViews>
    <workbookView xWindow="-110" yWindow="-110" windowWidth="19420" windowHeight="10300" xr2:uid="{DA497648-32BB-4491-87DB-D1559E097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3" i="1"/>
  <c r="F25" i="1"/>
  <c r="F24" i="1"/>
  <c r="F23" i="1"/>
  <c r="F22" i="1"/>
  <c r="F21" i="1"/>
  <c r="F20" i="1"/>
  <c r="C1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4" i="1"/>
  <c r="G5" i="1"/>
  <c r="G6" i="1"/>
  <c r="G7" i="1"/>
  <c r="G8" i="1"/>
  <c r="G9" i="1"/>
  <c r="J9" i="1" s="1"/>
  <c r="G10" i="1"/>
  <c r="G11" i="1"/>
  <c r="G12" i="1"/>
  <c r="G13" i="1"/>
  <c r="G14" i="1"/>
  <c r="G15" i="1"/>
  <c r="J15" i="1" s="1"/>
  <c r="K15" i="1" s="1"/>
  <c r="L15" i="1" s="1"/>
  <c r="G16" i="1"/>
  <c r="G17" i="1"/>
  <c r="G3" i="1"/>
  <c r="J10" i="1" l="1"/>
  <c r="J3" i="1"/>
  <c r="J6" i="1"/>
  <c r="J11" i="1"/>
  <c r="K11" i="1" s="1"/>
  <c r="L11" i="1" s="1"/>
  <c r="J12" i="1"/>
  <c r="K12" i="1" s="1"/>
  <c r="L12" i="1" s="1"/>
  <c r="J17" i="1"/>
  <c r="K17" i="1" s="1"/>
  <c r="L17" i="1" s="1"/>
  <c r="J5" i="1"/>
  <c r="K5" i="1" s="1"/>
  <c r="L5" i="1" s="1"/>
  <c r="J8" i="1"/>
  <c r="K8" i="1" s="1"/>
  <c r="L8" i="1" s="1"/>
  <c r="J16" i="1"/>
  <c r="K16" i="1" s="1"/>
  <c r="L16" i="1" s="1"/>
  <c r="J4" i="1"/>
  <c r="K4" i="1" s="1"/>
  <c r="L4" i="1" s="1"/>
  <c r="J7" i="1"/>
  <c r="K7" i="1" s="1"/>
  <c r="L7" i="1" s="1"/>
  <c r="J13" i="1"/>
  <c r="K13" i="1" s="1"/>
  <c r="J14" i="1"/>
  <c r="K14" i="1" s="1"/>
  <c r="K10" i="1"/>
  <c r="L10" i="1" s="1"/>
  <c r="K9" i="1"/>
  <c r="L9" i="1" s="1"/>
  <c r="K3" i="1"/>
  <c r="L3" i="1" s="1"/>
  <c r="K6" i="1"/>
  <c r="L6" i="1" s="1"/>
  <c r="L14" i="1" l="1"/>
  <c r="L13" i="1"/>
  <c r="G23" i="1"/>
  <c r="G21" i="1"/>
  <c r="G20" i="1"/>
  <c r="G24" i="1"/>
  <c r="G25" i="1"/>
  <c r="G22" i="1"/>
  <c r="C20" i="1" l="1"/>
  <c r="C21" i="1"/>
  <c r="C22" i="1"/>
  <c r="C23" i="1"/>
  <c r="C24" i="1"/>
</calcChain>
</file>

<file path=xl/sharedStrings.xml><?xml version="1.0" encoding="utf-8"?>
<sst xmlns="http://schemas.openxmlformats.org/spreadsheetml/2006/main" count="75" uniqueCount="64">
  <si>
    <t>Emp ID</t>
  </si>
  <si>
    <t xml:space="preserve">Employee Name </t>
  </si>
  <si>
    <t xml:space="preserve">Department </t>
  </si>
  <si>
    <t>Basic Salary</t>
  </si>
  <si>
    <t xml:space="preserve">Experience </t>
  </si>
  <si>
    <t>Attendence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</si>
  <si>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</si>
  <si>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</si>
  <si>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</si>
  <si>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</si>
  <si>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</si>
  <si>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</si>
  <si>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</si>
  <si>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</si>
  <si>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</si>
  <si>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</si>
  <si>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</si>
  <si>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</si>
  <si>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</si>
  <si>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</si>
  <si>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</si>
  <si>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Rahul Sharma</t>
  </si>
  <si>
    <t>Priya Reddy</t>
  </si>
  <si>
    <t xml:space="preserve">Arjun Kumar </t>
  </si>
  <si>
    <t>Sneha Patel</t>
  </si>
  <si>
    <t>Vikram Singh</t>
  </si>
  <si>
    <t>Ananya Rao</t>
  </si>
  <si>
    <t>Karan Gupta</t>
  </si>
  <si>
    <t>Meena Joshi</t>
  </si>
  <si>
    <t>Rohan Verma</t>
  </si>
  <si>
    <t>Kavya Nair</t>
  </si>
  <si>
    <t>Aditya Sharma</t>
  </si>
  <si>
    <t>Neha Kapoor</t>
  </si>
  <si>
    <t>Aman Yadav</t>
  </si>
  <si>
    <t>Pooja Singh</t>
  </si>
  <si>
    <t>Rohan Mishra</t>
  </si>
  <si>
    <t>IT</t>
  </si>
  <si>
    <t>HR</t>
  </si>
  <si>
    <t>Finance</t>
  </si>
  <si>
    <t>Marketing</t>
  </si>
  <si>
    <t>Sales</t>
  </si>
  <si>
    <t>Operations</t>
  </si>
  <si>
    <t>HRA</t>
  </si>
  <si>
    <t>Bonus</t>
  </si>
  <si>
    <t>Incentive</t>
  </si>
  <si>
    <t>Gross Salary</t>
  </si>
  <si>
    <t>Tax</t>
  </si>
  <si>
    <t>Net Salary</t>
  </si>
  <si>
    <t>Rating</t>
  </si>
  <si>
    <t>Total Employees</t>
  </si>
  <si>
    <t xml:space="preserve">Highest Salary </t>
  </si>
  <si>
    <t>Lowest Salary</t>
  </si>
  <si>
    <t xml:space="preserve">Average Salary </t>
  </si>
  <si>
    <t xml:space="preserve">Total Payroll cost </t>
  </si>
  <si>
    <t xml:space="preserve">DEPARTMENT </t>
  </si>
  <si>
    <t xml:space="preserve">FINANCE </t>
  </si>
  <si>
    <t>MARKETING</t>
  </si>
  <si>
    <t>SALES</t>
  </si>
  <si>
    <t>OPERATIONS</t>
  </si>
  <si>
    <t>TOTAL SALARY</t>
  </si>
  <si>
    <t>EMPLOYEE PAYROLL MANAGEMENT SYSTEM</t>
  </si>
  <si>
    <t xml:space="preserve">Top Performer </t>
  </si>
  <si>
    <t>SUMMARY</t>
  </si>
  <si>
    <t>Attendence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</si>
</sst>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  <numFmt numFmtId="165" formatCode="_ &quot;₹&quot;\ * #,##0_ ;_ &quot;₹&quot;\ * \-#,##0_ ;_ &quot;₹&quot;\ * &quot;-&quot;??_ ;_ @_ "/>
    <numFmt numFmtId="166" formatCode="&quot;₹&quot;\ 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166" fontId="0" fillId="0" borderId="0" xfId="0" applyNumberFormat="1"/>
    <xf numFmtId="0" fontId="6" fillId="7" borderId="0" xfId="0" applyFont="1" applyFill="1"/>
    <xf numFmtId="164" fontId="6" fillId="6" borderId="0" xfId="0" applyNumberFormat="1" applyFont="1" applyFill="1"/>
    <xf numFmtId="0" fontId="7" fillId="0" borderId="0" xfId="0" applyFont="1"/>
    <xf numFmtId="0" fontId="6" fillId="0" borderId="0" xfId="0" applyFont="1"/>
    <xf numFmtId="0" fontId="6" fillId="3" borderId="0" xfId="0" applyFont="1" applyFill="1"/>
    <xf numFmtId="164" fontId="6" fillId="2" borderId="0" xfId="0" applyNumberFormat="1" applyFont="1" applyFill="1"/>
    <xf numFmtId="164" fontId="6" fillId="4" borderId="0" xfId="0" applyNumberFormat="1" applyFont="1" applyFill="1"/>
    <xf numFmtId="164" fontId="6" fillId="5" borderId="0" xfId="0" applyNumberFormat="1" applyFont="1" applyFill="1"/>
    <xf numFmtId="0" fontId="0" fillId="8" borderId="0" xfId="0" applyFill="1"/>
    <xf numFmtId="164" fontId="0" fillId="8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Distribution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Sheet1!$F$19</c:f>
              <c:strCache>
                <c:ptCount val="1"/>
                <c:pt idx="0">
                  <c:v>SUMMARY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3-48FF-95B1-D3D95EC083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3-48FF-95B1-D3D95EC083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3-48FF-95B1-D3D95EC083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13-48FF-95B1-D3D95EC083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13-48FF-95B1-D3D95EC083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13-48FF-95B1-D3D95EC083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Sheet1!$E$20:$E$25</c:f>
              <c:strCache>
                <c:ptCount val="6"/>
                <c:pt idx="0">
                  <c:v>IT</c:v>
                </c:pt>
                <c:pt idx="1">
                  <c:v>HR</c:v>
                </c:pt>
                <c:pt idx="2">
                  <c:v>FINANCE </c:v>
                </c:pt>
                <c:pt idx="3">
                  <c:v>MARKETING</c:v>
                </c:pt>
                <c:pt idx="4">
                  <c:v>SALES</c:v>
                </c:pt>
                <c:pt idx="5">
                  <c:v>OPERATIONS</c:v>
                </c:pt>
              </c:strCache>
            </c:strRef>
          </c:cat>
          <c:val>
            <c:numRef>
              <c:f>Sheet1!$F$20:$F$25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7-4B69-9646-60ACEA34A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Department-wise Payroll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35870516185477"/>
          <c:y val="0.17171296296296298"/>
          <c:w val="0.810085739282589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(Sheet1!$E$20,Sheet1!$E$21,Sheet1!$E$22,Sheet1!$E$23,Sheet1!$E$24,Sheet1!$E$25)</c:f>
              <c:strCache>
                <c:ptCount val="6"/>
                <c:pt idx="0">
                  <c:v>IT</c:v>
                </c:pt>
                <c:pt idx="1">
                  <c:v>HR</c:v>
                </c:pt>
                <c:pt idx="2">
                  <c:v>FINANCE </c:v>
                </c:pt>
                <c:pt idx="3">
                  <c:v>MARKETING</c:v>
                </c:pt>
                <c:pt idx="4">
                  <c:v>SALES</c:v>
                </c:pt>
                <c:pt idx="5">
                  <c:v>OPERATIONS</c:v>
                </c:pt>
              </c:strCache>
            </c:strRef>
          </c:cat>
          <c:val>
            <c:numRef>
              <c:f>(Sheet1!$G$20,Sheet1!$G$21,Sheet1!$G$22,Sheet1!$G$23,Sheet1!$G$24,Sheet1!$G$25)</c:f>
              <c:numCache>
                <c:formatCode>_ [$₹-4009]\ * #,##0_ ;_ [$₹-4009]\ * \-#,##0_ ;_ [$₹-4009]\ * "-"??_ ;_ @_ </c:formatCode>
                <c:ptCount val="6"/>
                <c:pt idx="0">
                  <c:v>227542.5</c:v>
                </c:pt>
                <c:pt idx="1">
                  <c:v>114345</c:v>
                </c:pt>
                <c:pt idx="2">
                  <c:v>102667.5</c:v>
                </c:pt>
                <c:pt idx="3">
                  <c:v>74115</c:v>
                </c:pt>
                <c:pt idx="4">
                  <c:v>102532.5</c:v>
                </c:pt>
                <c:pt idx="5">
                  <c:v>102532.5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C-4548-ABC5-303FCF7AE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7373664"/>
        <c:axId val="1117374144"/>
      </c:barChart>
      <c:catAx>
        <c:axId val="111737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374144"/>
        <c:crosses val="autoZero"/>
        <c:auto val="1"/>
        <c:lblAlgn val="ctr"/>
        <c:lblOffset val="100"/>
        <c:noMultiLvlLbl val="0"/>
      </c:catAx>
      <c:valAx>
        <c:axId val="11173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37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 Bonus Comparison</a:t>
            </a:r>
          </a:p>
        </c:rich>
      </c:tx>
      <c:layout>
        <c:manualLayout>
          <c:xMode val="edge"/>
          <c:yMode val="edge"/>
          <c:x val="0.17338188976377955"/>
          <c:y val="4.1606253818151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22492984421298"/>
          <c:y val="0.16538594958681865"/>
          <c:w val="0.74961213358550638"/>
          <c:h val="0.73117194917110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(Sheet1!$B$3,Sheet1!$B$4,Sheet1!$B$5:$B$18)</c:f>
              <c:strCache>
                <c:ptCount val="15"/>
                <c:pt idx="0">
                  <c:v>Rahul Sharma</c:v>
                </c:pt>
                <c:pt idx="1">
                  <c:v>Priya Reddy</c:v>
                </c:pt>
                <c:pt idx="2">
                  <c:v>Arjun Kumar </c:v>
                </c:pt>
                <c:pt idx="3">
                  <c:v>Sneha Patel</c:v>
                </c:pt>
                <c:pt idx="4">
                  <c:v>Vikram Singh</c:v>
                </c:pt>
                <c:pt idx="5">
                  <c:v>Ananya Rao</c:v>
                </c:pt>
                <c:pt idx="6">
                  <c:v>Karan Gupta</c:v>
                </c:pt>
                <c:pt idx="7">
                  <c:v>Meena Joshi</c:v>
                </c:pt>
                <c:pt idx="8">
                  <c:v>Rohan Verma</c:v>
                </c:pt>
                <c:pt idx="9">
                  <c:v>Kavya Nair</c:v>
                </c:pt>
                <c:pt idx="10">
                  <c:v>Aditya Sharma</c:v>
                </c:pt>
                <c:pt idx="11">
                  <c:v>Neha Kapoor</c:v>
                </c:pt>
                <c:pt idx="12">
                  <c:v>Aman Yadav</c:v>
                </c:pt>
                <c:pt idx="13">
                  <c:v>Pooja Singh</c:v>
                </c:pt>
                <c:pt idx="14">
                  <c:v>Rohan Mishra</c:v>
                </c:pt>
              </c:strCache>
            </c:strRef>
          </c:cat>
          <c:val>
            <c:numRef>
              <c:f>(Sheet1!$H$3,Sheet1!$H$4,Sheet1!$H$5:$H$18)</c:f>
              <c:numCache>
                <c:formatCode>General</c:formatCode>
                <c:ptCount val="16"/>
                <c:pt idx="0">
                  <c:v>4200</c:v>
                </c:pt>
                <c:pt idx="1">
                  <c:v>5250</c:v>
                </c:pt>
                <c:pt idx="2">
                  <c:v>6750</c:v>
                </c:pt>
                <c:pt idx="3">
                  <c:v>4500</c:v>
                </c:pt>
                <c:pt idx="4">
                  <c:v>8250</c:v>
                </c:pt>
                <c:pt idx="5">
                  <c:v>4800</c:v>
                </c:pt>
                <c:pt idx="6">
                  <c:v>6000</c:v>
                </c:pt>
                <c:pt idx="7">
                  <c:v>4050</c:v>
                </c:pt>
                <c:pt idx="8">
                  <c:v>9000</c:v>
                </c:pt>
                <c:pt idx="9">
                  <c:v>6300</c:v>
                </c:pt>
                <c:pt idx="10">
                  <c:v>4650</c:v>
                </c:pt>
                <c:pt idx="11">
                  <c:v>5700</c:v>
                </c:pt>
                <c:pt idx="12">
                  <c:v>7050</c:v>
                </c:pt>
                <c:pt idx="13">
                  <c:v>4350</c:v>
                </c:pt>
                <c:pt idx="14">
                  <c:v>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2-4A08-A783-65D678E1D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3027040"/>
        <c:axId val="1333027520"/>
      </c:barChart>
      <c:catAx>
        <c:axId val="1333027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27520"/>
        <c:crosses val="autoZero"/>
        <c:auto val="1"/>
        <c:lblAlgn val="ctr"/>
        <c:lblOffset val="100"/>
        <c:noMultiLvlLbl val="0"/>
      </c:catAx>
      <c:valAx>
        <c:axId val="13330275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2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584882</xdr:colOff>
      <xdr:row>17</xdr:row>
      <xdr:rowOff>146561</xdr:rowOff>
    </xdr:from>
    <xdr:to>
      <xdr:col>14</xdr:col>
      <xdr:colOff>562661</xdr:colOff>
      <xdr:row>32</xdr:row>
      <xdr:rowOff>152692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3A482A-CD63-5F84-F385-49A699A31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6105</xdr:colOff>
      <xdr:row>17</xdr:row>
      <xdr:rowOff>4147</xdr:rowOff>
    </xdr:from>
    <xdr:to>
      <xdr:col>22</xdr:col>
      <xdr:colOff>319092</xdr:colOff>
      <xdr:row>31</xdr:row>
      <xdr:rowOff>131085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35DEF1-7628-EB05-7197-994015687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16316</xdr:colOff>
      <xdr:row>0</xdr:row>
      <xdr:rowOff>327553</xdr:rowOff>
    </xdr:from>
    <xdr:to>
      <xdr:col>22</xdr:col>
      <xdr:colOff>336128</xdr:colOff>
      <xdr:row>16</xdr:row>
      <xdr:rowOff>20065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74AC48-F4F8-790A-773A-609157CBB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4D8D-31AA-46EA-A84A-4E5C8B347536}">
  <sheetPr>
    <pageSetUpPr fitToPage="1"/>
  </sheetPr>
  <dimension ref="A1:N25"/>
  <sheetViews>
    <sheetView tabSelected="1" zoomScale="72" zoomScaleNormal="108" workbookViewId="0">
      <selection activeCell="H21" sqref="H21"/>
    </sheetView>
  </sheetViews>
  <sheetFormatPr defaultRowHeight="14.5" x14ac:dyDescent="0.35"/>
  <cols>
    <col min="1" max="1" width="12.26953125" customWidth="1"/>
    <col min="2" max="2" width="21" customWidth="1"/>
    <col min="3" max="3" width="19.08984375" customWidth="1"/>
    <col min="4" max="4" width="16.90625" customWidth="1"/>
    <col min="5" max="5" width="12.90625" customWidth="1"/>
    <col min="6" max="6" width="15.54296875" customWidth="1"/>
    <col min="7" max="7" width="18.7265625" customWidth="1"/>
    <col min="8" max="8" width="13.81640625" customWidth="1"/>
    <col min="9" max="9" width="11.6328125" customWidth="1"/>
    <col min="10" max="10" width="15.90625" customWidth="1"/>
    <col min="11" max="11" width="12.7265625" customWidth="1"/>
    <col min="12" max="12" width="14.36328125" customWidth="1"/>
    <col min="13" max="13" width="18.1796875" customWidth="1"/>
    <col min="14" max="14" width="20.08984375" customWidth="1"/>
  </cols>
  <sheetData>
    <row r="1" spans="1:14" ht="26" x14ac:dyDescent="0.6">
      <c r="A1" s="3" t="s">
        <v>60</v>
      </c>
      <c r="G1" s="6"/>
    </row>
    <row r="2" spans="1:14" ht="15.5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63</v>
      </c>
    </row>
    <row r="3" spans="1:14" x14ac:dyDescent="0.35">
      <c r="A3" t="s">
        <v>6</v>
      </c>
      <c r="B3" t="s">
        <v>21</v>
      </c>
      <c r="C3" t="s">
        <v>36</v>
      </c>
      <c r="D3" s="1">
        <v>28000</v>
      </c>
      <c r="E3">
        <v>1</v>
      </c>
      <c r="F3">
        <v>96</v>
      </c>
      <c r="G3" s="2">
        <f>IF(D3&lt;=30,D3*15%,D3*20%)</f>
        <v>5600</v>
      </c>
      <c r="H3">
        <f>IF(D3=2,D3*5%,IF(D3&lt;=5,D3*10%,D3*15%))</f>
        <v>4200</v>
      </c>
      <c r="I3">
        <f>IF(F3&gt;=95,2000,0)</f>
        <v>2000</v>
      </c>
      <c r="J3" s="1">
        <f>SUM(D3,G3,H3,I21)</f>
        <v>37800</v>
      </c>
      <c r="K3">
        <f>IF(J3&lt;=40000,5%*J3,IF(J3&lt;60000,10%*J3,15%*J3))</f>
        <v>1890</v>
      </c>
      <c r="L3" s="1">
        <f>J3-K3</f>
        <v>35910</v>
      </c>
      <c r="M3" t="str">
        <f>IF(L3&gt;=60000,"Excellent",IF(L3&gt;=50000,"Good",IF(L3&gt;=40000,"Average","Needs Improvement")))</f>
        <v>Needs Improvement</v>
      </c>
      <c r="N3" t="str">
        <f>IF(F3&gt;=95,"Excellent",IF(F3&gt;=90,"Good",IF(F3&gt;=80,"Average","Needs Improvement")))</f>
        <v>Excellent</v>
      </c>
    </row>
    <row r="4" spans="1:14" x14ac:dyDescent="0.35">
      <c r="A4" t="s">
        <v>7</v>
      </c>
      <c r="B4" t="s">
        <v>22</v>
      </c>
      <c r="C4" t="s">
        <v>37</v>
      </c>
      <c r="D4" s="2">
        <v>35000</v>
      </c>
      <c r="E4">
        <v>3</v>
      </c>
      <c r="F4">
        <v>92</v>
      </c>
      <c r="G4" s="2">
        <f t="shared" ref="G4:G17" si="0">IF(D4&lt;=30,D4*15%,D4*20%)</f>
        <v>7000</v>
      </c>
      <c r="H4">
        <f t="shared" ref="H4:H17" si="1">IF(D4=2,D4*5%,IF(D4&lt;=5,D4*10%,D4*15%))</f>
        <v>5250</v>
      </c>
      <c r="I4">
        <f t="shared" ref="I4:I17" si="2">IF(F4&gt;=95,2000,0)</f>
        <v>0</v>
      </c>
      <c r="J4" s="1">
        <f t="shared" ref="J4:J17" si="3">SUM(D4,G4,H4,I22)</f>
        <v>47250</v>
      </c>
      <c r="K4">
        <f t="shared" ref="K4:K17" si="4">IF(J4&lt;=40000,5%*J4,IF(J4&lt;60000,10%*J4,15%*J4))</f>
        <v>4725</v>
      </c>
      <c r="L4" s="1">
        <f t="shared" ref="L4:L17" si="5">J4-K4</f>
        <v>42525</v>
      </c>
      <c r="M4" t="str">
        <f t="shared" ref="M4:M17" si="6">IF(L4&gt;=60000,"Excellent",IF(L4&gt;=50000,"Good",IF(L4&gt;=40000,"Average","Needs Improvement")))</f>
        <v>Average</v>
      </c>
      <c r="N4" t="str">
        <f t="shared" ref="N4:N17" si="7">IF(F4&gt;=95,"Excellent",IF(F4&gt;=90,"Good",IF(F4&gt;=80,"Average","Needs Improvement")))</f>
        <v>Good</v>
      </c>
    </row>
    <row r="5" spans="1:14" x14ac:dyDescent="0.35">
      <c r="A5" t="s">
        <v>8</v>
      </c>
      <c r="B5" t="s">
        <v>23</v>
      </c>
      <c r="C5" t="s">
        <v>38</v>
      </c>
      <c r="D5" s="2">
        <v>45000</v>
      </c>
      <c r="E5">
        <v>6</v>
      </c>
      <c r="F5">
        <v>98</v>
      </c>
      <c r="G5" s="2">
        <f t="shared" si="0"/>
        <v>9000</v>
      </c>
      <c r="H5">
        <f t="shared" si="1"/>
        <v>6750</v>
      </c>
      <c r="I5">
        <f t="shared" si="2"/>
        <v>2000</v>
      </c>
      <c r="J5" s="1">
        <f t="shared" si="3"/>
        <v>60750</v>
      </c>
      <c r="K5">
        <f t="shared" si="4"/>
        <v>9112.5</v>
      </c>
      <c r="L5" s="1">
        <f t="shared" si="5"/>
        <v>51637.5</v>
      </c>
      <c r="M5" t="str">
        <f t="shared" si="6"/>
        <v>Good</v>
      </c>
      <c r="N5" t="str">
        <f t="shared" si="7"/>
        <v>Excellent</v>
      </c>
    </row>
    <row r="6" spans="1:14" x14ac:dyDescent="0.35">
      <c r="A6" t="s">
        <v>9</v>
      </c>
      <c r="B6" t="s">
        <v>24</v>
      </c>
      <c r="C6" t="s">
        <v>39</v>
      </c>
      <c r="D6" s="2">
        <v>30000</v>
      </c>
      <c r="E6">
        <v>2</v>
      </c>
      <c r="F6">
        <v>95</v>
      </c>
      <c r="G6" s="2">
        <f t="shared" si="0"/>
        <v>6000</v>
      </c>
      <c r="H6">
        <f t="shared" si="1"/>
        <v>4500</v>
      </c>
      <c r="I6">
        <f t="shared" si="2"/>
        <v>2000</v>
      </c>
      <c r="J6" s="1">
        <f t="shared" si="3"/>
        <v>40500</v>
      </c>
      <c r="K6">
        <f t="shared" si="4"/>
        <v>4050</v>
      </c>
      <c r="L6" s="1">
        <f t="shared" si="5"/>
        <v>36450</v>
      </c>
      <c r="M6" t="str">
        <f t="shared" si="6"/>
        <v>Needs Improvement</v>
      </c>
      <c r="N6" t="str">
        <f t="shared" si="7"/>
        <v>Excellent</v>
      </c>
    </row>
    <row r="7" spans="1:14" ht="15.5" x14ac:dyDescent="0.35">
      <c r="A7" t="s">
        <v>10</v>
      </c>
      <c r="B7" t="s">
        <v>25</v>
      </c>
      <c r="C7" t="s">
        <v>36</v>
      </c>
      <c r="D7" s="2">
        <v>55000</v>
      </c>
      <c r="E7" s="4">
        <v>8</v>
      </c>
      <c r="F7">
        <v>90</v>
      </c>
      <c r="G7" s="2">
        <f t="shared" si="0"/>
        <v>11000</v>
      </c>
      <c r="H7">
        <f t="shared" si="1"/>
        <v>8250</v>
      </c>
      <c r="I7">
        <f t="shared" si="2"/>
        <v>0</v>
      </c>
      <c r="J7" s="1">
        <f t="shared" si="3"/>
        <v>74250</v>
      </c>
      <c r="K7">
        <f t="shared" si="4"/>
        <v>11137.5</v>
      </c>
      <c r="L7" s="1">
        <f t="shared" si="5"/>
        <v>63112.5</v>
      </c>
      <c r="M7" t="str">
        <f t="shared" si="6"/>
        <v>Excellent</v>
      </c>
      <c r="N7" t="str">
        <f t="shared" si="7"/>
        <v>Good</v>
      </c>
    </row>
    <row r="8" spans="1:14" x14ac:dyDescent="0.35">
      <c r="A8" t="s">
        <v>11</v>
      </c>
      <c r="B8" t="s">
        <v>26</v>
      </c>
      <c r="C8" t="s">
        <v>40</v>
      </c>
      <c r="D8" s="2">
        <v>32000</v>
      </c>
      <c r="E8">
        <v>4</v>
      </c>
      <c r="F8">
        <v>97</v>
      </c>
      <c r="G8" s="2">
        <f t="shared" si="0"/>
        <v>6400</v>
      </c>
      <c r="H8">
        <f t="shared" si="1"/>
        <v>4800</v>
      </c>
      <c r="I8">
        <f t="shared" si="2"/>
        <v>2000</v>
      </c>
      <c r="J8" s="1">
        <f t="shared" si="3"/>
        <v>43200</v>
      </c>
      <c r="K8">
        <f t="shared" si="4"/>
        <v>4320</v>
      </c>
      <c r="L8" s="1">
        <f t="shared" si="5"/>
        <v>38880</v>
      </c>
      <c r="M8" t="str">
        <f t="shared" si="6"/>
        <v>Needs Improvement</v>
      </c>
      <c r="N8" t="str">
        <f t="shared" si="7"/>
        <v>Excellent</v>
      </c>
    </row>
    <row r="9" spans="1:14" x14ac:dyDescent="0.35">
      <c r="A9" t="s">
        <v>12</v>
      </c>
      <c r="B9" t="s">
        <v>27</v>
      </c>
      <c r="C9" t="s">
        <v>41</v>
      </c>
      <c r="D9" s="2">
        <v>40000</v>
      </c>
      <c r="E9">
        <v>5</v>
      </c>
      <c r="F9">
        <v>88</v>
      </c>
      <c r="G9" s="2">
        <f t="shared" si="0"/>
        <v>8000</v>
      </c>
      <c r="H9">
        <f t="shared" si="1"/>
        <v>6000</v>
      </c>
      <c r="I9">
        <f t="shared" si="2"/>
        <v>0</v>
      </c>
      <c r="J9" s="1">
        <f t="shared" si="3"/>
        <v>54000</v>
      </c>
      <c r="K9">
        <f t="shared" si="4"/>
        <v>5400</v>
      </c>
      <c r="L9" s="1">
        <f t="shared" si="5"/>
        <v>48600</v>
      </c>
      <c r="M9" t="str">
        <f t="shared" si="6"/>
        <v>Average</v>
      </c>
      <c r="N9" t="str">
        <f t="shared" si="7"/>
        <v>Average</v>
      </c>
    </row>
    <row r="10" spans="1:14" x14ac:dyDescent="0.35">
      <c r="A10" t="s">
        <v>13</v>
      </c>
      <c r="B10" t="s">
        <v>28</v>
      </c>
      <c r="C10" t="s">
        <v>37</v>
      </c>
      <c r="D10" s="2">
        <v>27000</v>
      </c>
      <c r="E10">
        <v>1</v>
      </c>
      <c r="F10">
        <v>99</v>
      </c>
      <c r="G10" s="2">
        <f t="shared" si="0"/>
        <v>5400</v>
      </c>
      <c r="H10">
        <f t="shared" si="1"/>
        <v>4050</v>
      </c>
      <c r="I10">
        <f t="shared" si="2"/>
        <v>2000</v>
      </c>
      <c r="J10" s="1">
        <f t="shared" si="3"/>
        <v>36450</v>
      </c>
      <c r="K10">
        <f t="shared" si="4"/>
        <v>1822.5</v>
      </c>
      <c r="L10" s="1">
        <f t="shared" si="5"/>
        <v>34627.5</v>
      </c>
      <c r="M10" t="str">
        <f t="shared" si="6"/>
        <v>Needs Improvement</v>
      </c>
      <c r="N10" t="str">
        <f t="shared" si="7"/>
        <v>Excellent</v>
      </c>
    </row>
    <row r="11" spans="1:14" x14ac:dyDescent="0.35">
      <c r="A11" t="s">
        <v>14</v>
      </c>
      <c r="B11" t="s">
        <v>29</v>
      </c>
      <c r="C11" t="s">
        <v>36</v>
      </c>
      <c r="D11" s="2">
        <v>60000</v>
      </c>
      <c r="E11">
        <v>10</v>
      </c>
      <c r="F11">
        <v>96</v>
      </c>
      <c r="G11" s="2">
        <f t="shared" si="0"/>
        <v>12000</v>
      </c>
      <c r="H11">
        <f t="shared" si="1"/>
        <v>9000</v>
      </c>
      <c r="I11">
        <f t="shared" si="2"/>
        <v>2000</v>
      </c>
      <c r="J11" s="1">
        <f t="shared" si="3"/>
        <v>81000</v>
      </c>
      <c r="K11">
        <f t="shared" si="4"/>
        <v>12150</v>
      </c>
      <c r="L11" s="1">
        <f t="shared" si="5"/>
        <v>68850</v>
      </c>
      <c r="M11" t="str">
        <f t="shared" si="6"/>
        <v>Excellent</v>
      </c>
      <c r="N11" t="str">
        <f t="shared" si="7"/>
        <v>Excellent</v>
      </c>
    </row>
    <row r="12" spans="1:14" x14ac:dyDescent="0.35">
      <c r="A12" t="s">
        <v>15</v>
      </c>
      <c r="B12" t="s">
        <v>30</v>
      </c>
      <c r="C12" t="s">
        <v>38</v>
      </c>
      <c r="D12" s="2">
        <v>42000</v>
      </c>
      <c r="E12">
        <v>3</v>
      </c>
      <c r="F12">
        <v>94</v>
      </c>
      <c r="G12" s="2">
        <f t="shared" si="0"/>
        <v>8400</v>
      </c>
      <c r="H12">
        <f t="shared" si="1"/>
        <v>6300</v>
      </c>
      <c r="I12">
        <f t="shared" si="2"/>
        <v>0</v>
      </c>
      <c r="J12" s="1">
        <f t="shared" si="3"/>
        <v>56700</v>
      </c>
      <c r="K12">
        <f t="shared" si="4"/>
        <v>5670</v>
      </c>
      <c r="L12" s="1">
        <f t="shared" si="5"/>
        <v>51030</v>
      </c>
      <c r="M12" t="str">
        <f t="shared" si="6"/>
        <v>Good</v>
      </c>
      <c r="N12" t="str">
        <f t="shared" si="7"/>
        <v>Good</v>
      </c>
    </row>
    <row r="13" spans="1:14" x14ac:dyDescent="0.35">
      <c r="A13" t="s">
        <v>16</v>
      </c>
      <c r="B13" t="s">
        <v>31</v>
      </c>
      <c r="C13" t="s">
        <v>39</v>
      </c>
      <c r="D13" s="2">
        <v>31000</v>
      </c>
      <c r="E13">
        <v>2</v>
      </c>
      <c r="F13">
        <v>91</v>
      </c>
      <c r="G13" s="2">
        <f t="shared" si="0"/>
        <v>6200</v>
      </c>
      <c r="H13">
        <f t="shared" si="1"/>
        <v>4650</v>
      </c>
      <c r="I13">
        <f t="shared" si="2"/>
        <v>0</v>
      </c>
      <c r="J13" s="1">
        <f t="shared" si="3"/>
        <v>41850</v>
      </c>
      <c r="K13">
        <f t="shared" si="4"/>
        <v>4185</v>
      </c>
      <c r="L13" s="1">
        <f t="shared" si="5"/>
        <v>37665</v>
      </c>
      <c r="M13" t="str">
        <f t="shared" si="6"/>
        <v>Needs Improvement</v>
      </c>
      <c r="N13" t="str">
        <f t="shared" si="7"/>
        <v>Good</v>
      </c>
    </row>
    <row r="14" spans="1:14" x14ac:dyDescent="0.35">
      <c r="A14" t="s">
        <v>17</v>
      </c>
      <c r="B14" t="s">
        <v>32</v>
      </c>
      <c r="C14" t="s">
        <v>40</v>
      </c>
      <c r="D14" s="2">
        <v>38000</v>
      </c>
      <c r="E14">
        <v>5</v>
      </c>
      <c r="F14">
        <v>97</v>
      </c>
      <c r="G14" s="2">
        <f t="shared" si="0"/>
        <v>7600</v>
      </c>
      <c r="H14">
        <f t="shared" si="1"/>
        <v>5700</v>
      </c>
      <c r="I14">
        <f t="shared" si="2"/>
        <v>2000</v>
      </c>
      <c r="J14" s="1">
        <f t="shared" si="3"/>
        <v>51300</v>
      </c>
      <c r="K14">
        <f t="shared" si="4"/>
        <v>5130</v>
      </c>
      <c r="L14" s="1">
        <f t="shared" si="5"/>
        <v>46170</v>
      </c>
      <c r="M14" t="str">
        <f t="shared" si="6"/>
        <v>Average</v>
      </c>
      <c r="N14" t="str">
        <f t="shared" si="7"/>
        <v>Excellent</v>
      </c>
    </row>
    <row r="15" spans="1:14" x14ac:dyDescent="0.35">
      <c r="A15" t="s">
        <v>18</v>
      </c>
      <c r="B15" t="s">
        <v>33</v>
      </c>
      <c r="C15" t="s">
        <v>41</v>
      </c>
      <c r="D15" s="2">
        <v>47000</v>
      </c>
      <c r="E15">
        <v>7</v>
      </c>
      <c r="F15">
        <v>93</v>
      </c>
      <c r="G15" s="2">
        <f t="shared" si="0"/>
        <v>9400</v>
      </c>
      <c r="H15">
        <f t="shared" si="1"/>
        <v>7050</v>
      </c>
      <c r="I15">
        <f t="shared" si="2"/>
        <v>0</v>
      </c>
      <c r="J15" s="1">
        <f t="shared" si="3"/>
        <v>63450</v>
      </c>
      <c r="K15">
        <f t="shared" si="4"/>
        <v>9517.5</v>
      </c>
      <c r="L15" s="1">
        <f t="shared" si="5"/>
        <v>53932.5</v>
      </c>
      <c r="M15" t="str">
        <f t="shared" si="6"/>
        <v>Good</v>
      </c>
      <c r="N15" t="str">
        <f t="shared" si="7"/>
        <v>Good</v>
      </c>
    </row>
    <row r="16" spans="1:14" x14ac:dyDescent="0.35">
      <c r="A16" t="s">
        <v>19</v>
      </c>
      <c r="B16" t="s">
        <v>34</v>
      </c>
      <c r="C16" t="s">
        <v>37</v>
      </c>
      <c r="D16" s="2">
        <v>29000</v>
      </c>
      <c r="E16">
        <v>2</v>
      </c>
      <c r="F16">
        <v>100</v>
      </c>
      <c r="G16" s="2">
        <f t="shared" si="0"/>
        <v>5800</v>
      </c>
      <c r="H16">
        <f t="shared" si="1"/>
        <v>4350</v>
      </c>
      <c r="I16">
        <f t="shared" si="2"/>
        <v>2000</v>
      </c>
      <c r="J16" s="1">
        <f t="shared" si="3"/>
        <v>39150</v>
      </c>
      <c r="K16">
        <f t="shared" si="4"/>
        <v>1957.5</v>
      </c>
      <c r="L16" s="1">
        <f t="shared" si="5"/>
        <v>37192.5</v>
      </c>
      <c r="M16" t="str">
        <f t="shared" si="6"/>
        <v>Needs Improvement</v>
      </c>
      <c r="N16" t="str">
        <f t="shared" si="7"/>
        <v>Excellent</v>
      </c>
    </row>
    <row r="17" spans="1:14" x14ac:dyDescent="0.35">
      <c r="A17" t="s">
        <v>20</v>
      </c>
      <c r="B17" t="s">
        <v>35</v>
      </c>
      <c r="C17" t="s">
        <v>36</v>
      </c>
      <c r="D17" s="2">
        <v>52000</v>
      </c>
      <c r="E17">
        <v>9</v>
      </c>
      <c r="F17">
        <v>89</v>
      </c>
      <c r="G17" s="2">
        <f t="shared" si="0"/>
        <v>10400</v>
      </c>
      <c r="H17">
        <f t="shared" si="1"/>
        <v>7800</v>
      </c>
      <c r="I17">
        <f t="shared" si="2"/>
        <v>0</v>
      </c>
      <c r="J17" s="1">
        <f t="shared" si="3"/>
        <v>70200</v>
      </c>
      <c r="K17">
        <f t="shared" si="4"/>
        <v>10530</v>
      </c>
      <c r="L17" s="1">
        <f t="shared" si="5"/>
        <v>59670</v>
      </c>
      <c r="M17" t="str">
        <f t="shared" si="6"/>
        <v>Good</v>
      </c>
      <c r="N17" t="str">
        <f t="shared" si="7"/>
        <v>Average</v>
      </c>
    </row>
    <row r="19" spans="1:14" ht="21" x14ac:dyDescent="0.5">
      <c r="A19" s="9" t="s">
        <v>49</v>
      </c>
      <c r="B19" s="10"/>
      <c r="C19" s="11">
        <f>COUNTA(B3:B17)</f>
        <v>15</v>
      </c>
      <c r="E19" s="15" t="s">
        <v>54</v>
      </c>
      <c r="F19" s="15" t="s">
        <v>62</v>
      </c>
      <c r="G19" s="15" t="s">
        <v>59</v>
      </c>
    </row>
    <row r="20" spans="1:14" ht="21" x14ac:dyDescent="0.5">
      <c r="A20" s="9" t="s">
        <v>50</v>
      </c>
      <c r="B20" s="10"/>
      <c r="C20" s="12">
        <f>MAX(L3:L17)</f>
        <v>68850</v>
      </c>
      <c r="E20" s="15" t="s">
        <v>36</v>
      </c>
      <c r="F20" s="15">
        <f>COUNTIF(C3:C17,"IT")</f>
        <v>4</v>
      </c>
      <c r="G20" s="16">
        <f>SUM(L3,L7,L11,L17)</f>
        <v>227542.5</v>
      </c>
    </row>
    <row r="21" spans="1:14" ht="21" x14ac:dyDescent="0.5">
      <c r="A21" s="9" t="s">
        <v>51</v>
      </c>
      <c r="B21" s="10"/>
      <c r="C21" s="13">
        <f>MIN(L3:L17)</f>
        <v>34627.5</v>
      </c>
      <c r="E21" s="15" t="s">
        <v>37</v>
      </c>
      <c r="F21" s="15">
        <f>COUNTIF(C3:C17,"HR")</f>
        <v>3</v>
      </c>
      <c r="G21" s="16">
        <f>SUM(L4,L10,L16)</f>
        <v>114345</v>
      </c>
    </row>
    <row r="22" spans="1:14" ht="21" x14ac:dyDescent="0.5">
      <c r="A22" s="9" t="s">
        <v>52</v>
      </c>
      <c r="B22" s="10"/>
      <c r="C22" s="14">
        <f>AVERAGE(L3:L17)</f>
        <v>47083.5</v>
      </c>
      <c r="E22" s="15" t="s">
        <v>55</v>
      </c>
      <c r="F22" s="15">
        <f>COUNTIF(C3:C17,"FINANCE")</f>
        <v>2</v>
      </c>
      <c r="G22" s="16">
        <f>SUM(L5,L12)</f>
        <v>102667.5</v>
      </c>
    </row>
    <row r="23" spans="1:14" ht="21" x14ac:dyDescent="0.5">
      <c r="A23" s="9" t="s">
        <v>53</v>
      </c>
      <c r="B23" s="10"/>
      <c r="C23" s="8">
        <f>SUM(L3:L17)</f>
        <v>706252.5</v>
      </c>
      <c r="E23" s="15" t="s">
        <v>56</v>
      </c>
      <c r="F23" s="15">
        <f>COUNTIF(C3:C17,"MARKETING")</f>
        <v>2</v>
      </c>
      <c r="G23" s="16">
        <f>SUM(L6,L13)</f>
        <v>74115</v>
      </c>
    </row>
    <row r="24" spans="1:14" ht="21" x14ac:dyDescent="0.5">
      <c r="A24" s="9" t="s">
        <v>61</v>
      </c>
      <c r="B24" s="10"/>
      <c r="C24" s="7" t="str">
        <f>INDEX(B2:B16,MATCH(MAX(L2:L16),L2:L16,0))</f>
        <v>Rohan Verma</v>
      </c>
      <c r="E24" s="15" t="s">
        <v>57</v>
      </c>
      <c r="F24" s="15">
        <f>COUNTIF(C3:C17,"SALES")</f>
        <v>2</v>
      </c>
      <c r="G24" s="16">
        <f>SUM(L9,L15)</f>
        <v>102532.5</v>
      </c>
    </row>
    <row r="25" spans="1:14" x14ac:dyDescent="0.35">
      <c r="E25" s="15" t="s">
        <v>58</v>
      </c>
      <c r="F25" s="15">
        <f>COUNTIF(C3:C17,"OPERATIONS")</f>
        <v>2</v>
      </c>
      <c r="G25" s="16">
        <f>SUM(L9,L15)</f>
        <v>102532.5</v>
      </c>
    </row>
  </sheetData>
  <phoneticPr fontId="2" type="noConversion"/>
  <conditionalFormatting sqref="L3:L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2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SAMEEKSHA DASARI</dc:creator>
  <cp:lastModifiedBy>SAMEEKSHA DASARI</cp:lastModifiedBy>
  <cp:lastPrinted>2026-06-12T12:46:51Z</cp:lastPrinted>
  <dcterms:created xsi:type="dcterms:W3CDTF">2026-06-12T08:24:48Z</dcterms:created>
  <dcterms:modified xsi:type="dcterms:W3CDTF">2026-06-28T03:48:56Z</dcterms:modified>
</cp:coreProperties>
</file>